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144\Documents\"/>
    </mc:Choice>
  </mc:AlternateContent>
  <xr:revisionPtr revIDLastSave="0" documentId="13_ncr:1_{E3F36022-3A4D-49AE-BA57-9B19F7A31B34}" xr6:coauthVersionLast="47" xr6:coauthVersionMax="47" xr10:uidLastSave="{00000000-0000-0000-0000-000000000000}"/>
  <bookViews>
    <workbookView xWindow="-108" yWindow="-108" windowWidth="23256" windowHeight="12576" xr2:uid="{86CC4CC3-E563-4852-B420-7ADBBCA22ACD}"/>
  </bookViews>
  <sheets>
    <sheet name="Sheet1" sheetId="1" r:id="rId1"/>
  </sheets>
  <definedNames>
    <definedName name="_xlnm._FilterDatabase" localSheetId="0" hidden="1">Sheet1!$A$17:$H$29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B41" i="1" a="1"/>
  <c r="B41" i="1" s="1"/>
  <c r="B39" i="1"/>
  <c r="B38" i="1"/>
  <c r="B37" i="1"/>
  <c r="H35" i="1"/>
  <c r="D35" i="1"/>
  <c r="H29" i="1"/>
  <c r="H28" i="1"/>
  <c r="H27" i="1"/>
  <c r="H26" i="1"/>
  <c r="H25" i="1"/>
  <c r="H24" i="1"/>
  <c r="H23" i="1"/>
  <c r="H22" i="1"/>
  <c r="H21" i="1"/>
  <c r="H20" i="1"/>
  <c r="H19" i="1"/>
  <c r="H18" i="1"/>
  <c r="D3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<sst xmlns="http://schemas.openxmlformats.org/spreadsheetml/2006/main" count="127" uniqueCount="39">
  <si>
    <t>OrderDate</t>
  </si>
  <si>
    <t>Region</t>
  </si>
  <si>
    <t>East</t>
  </si>
  <si>
    <t>West</t>
  </si>
  <si>
    <t>City</t>
  </si>
  <si>
    <t>Boston</t>
  </si>
  <si>
    <t>New York</t>
  </si>
  <si>
    <t>Los Angeles</t>
  </si>
  <si>
    <t>Category</t>
  </si>
  <si>
    <t>Bars</t>
  </si>
  <si>
    <t>Crackers</t>
  </si>
  <si>
    <t>Cookies</t>
  </si>
  <si>
    <t>Snacks</t>
  </si>
  <si>
    <t>Product</t>
  </si>
  <si>
    <t>Whole wheat</t>
  </si>
  <si>
    <t>Chocolate Chip</t>
  </si>
  <si>
    <t>Arrowroot</t>
  </si>
  <si>
    <t>Carrot</t>
  </si>
  <si>
    <t>Whole Wheat</t>
  </si>
  <si>
    <t>Potato chips</t>
  </si>
  <si>
    <t>Quantity</t>
  </si>
  <si>
    <t>UnitPrice</t>
  </si>
  <si>
    <t>TotalPrice</t>
  </si>
  <si>
    <t>3.TotalPrice</t>
  </si>
  <si>
    <t>ques6</t>
  </si>
  <si>
    <t>ques 7</t>
  </si>
  <si>
    <t>MAX QUANTIY=</t>
  </si>
  <si>
    <t>MIN QUANTITY=</t>
  </si>
  <si>
    <t>total price=</t>
  </si>
  <si>
    <t>ques8</t>
  </si>
  <si>
    <t>ques 9</t>
  </si>
  <si>
    <t>ques 10</t>
  </si>
  <si>
    <t>ques 11</t>
  </si>
  <si>
    <t>ques12</t>
  </si>
  <si>
    <t>ques 13</t>
  </si>
  <si>
    <t>question#2</t>
  </si>
  <si>
    <t>ques 5</t>
  </si>
  <si>
    <t>ques 4</t>
  </si>
  <si>
    <t>=AVERAGEIF(AND(D18:D29,"Cookies",D18:D29,"Crackers], H18:H29 )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</si>
</sst>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Sheet1!$H$2:$H$13</c:f>
              <c:numCache>
                <c:formatCode>General</c:formatCode>
                <c:ptCount val="12"/>
                <c:pt idx="0">
                  <c:v>58.410000000000004</c:v>
                </c:pt>
                <c:pt idx="1">
                  <c:v>303.63</c:v>
                </c:pt>
                <c:pt idx="2">
                  <c:v>108.46000000000001</c:v>
                </c:pt>
                <c:pt idx="3">
                  <c:v>153.34</c:v>
                </c:pt>
                <c:pt idx="4">
                  <c:v>82.84</c:v>
                </c:pt>
                <c:pt idx="5">
                  <c:v>95.58</c:v>
                </c:pt>
                <c:pt idx="6">
                  <c:v>520.01</c:v>
                </c:pt>
                <c:pt idx="7">
                  <c:v>90.27</c:v>
                </c:pt>
                <c:pt idx="8">
                  <c:v>177</c:v>
                </c:pt>
                <c:pt idx="9">
                  <c:v>37.800000000000004</c:v>
                </c:pt>
                <c:pt idx="10">
                  <c:v>78.48</c:v>
                </c:pt>
                <c:pt idx="11">
                  <c:v>57.970000000000006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5-42D7-97E7-2C6A1F1C9D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9644479"/>
        <c:axId val="1799646559"/>
      </c:barChart>
      <c:catAx>
        <c:axId val="179964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646559"/>
        <c:crosses val="autoZero"/>
        <c:auto val="1"/>
        <c:lblAlgn val="ctr"/>
        <c:lblOffset val="100"/>
        <c:noMultiLvlLbl val="0"/>
      </c:catAx>
      <c:valAx>
        <c:axId val="17996465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9964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417445</xdr:colOff>
      <xdr:row>1</xdr:row>
      <xdr:rowOff>23191</xdr:rowOff>
    </xdr:from>
    <xdr:to>
      <xdr:col>10</xdr:col>
      <xdr:colOff>808384</xdr:colOff>
      <xdr:row>15</xdr:row>
      <xdr:rowOff>155712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C8B1E2-1B5E-4AA2-996D-4322650C5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0.68985</cdr:x>
      <cdr:y>0.17271</cdr:y>
    </cdr:from>
    <cdr:to>
      <cdr:x>0.93623</cdr:x>
      <cdr:y>0.32488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0FE4C3-C3C1-4FD4-ABB5-A1995B78D9B0}"/>
            </a:ext>
          </a:extLst>
        </cdr:cNvPr>
        <cdr:cNvSpPr txBox="1"/>
      </cdr:nvSpPr>
      <cdr:spPr>
        <a:xfrm xmlns:a="http://schemas.openxmlformats.org/drawingml/2006/main">
          <a:off x="3154016" y="473766"/>
          <a:ext cx="1126435" cy="4174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/>
            <a:t>ques#3 east region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F7AE-659F-4513-8013-BAAD1A991F42}">
  <sheetPr filterMode="1"/>
  <dimension ref="A1:J42"/>
  <sheetViews>
    <sheetView tabSelected="1" topLeftCell="A22" zoomScale="115" zoomScaleNormal="115" workbookViewId="0">
      <selection activeCell="J20" sqref="J20"/>
    </sheetView>
  </sheetViews>
  <sheetFormatPr defaultRowHeight="14.4" x14ac:dyDescent="0.3"/>
  <cols>
    <col min="1" max="1" width="11.5546875" customWidth="1"/>
    <col min="3" max="3" width="10.77734375" customWidth="1"/>
    <col min="5" max="5" width="13.5546875" customWidth="1"/>
    <col min="7" max="7" width="12.88671875" customWidth="1"/>
    <col min="8" max="8" width="13.44140625" customWidth="1"/>
    <col min="9" max="9" width="35.6640625" customWidth="1"/>
    <col min="10" max="10" width="25.33203125" customWidth="1"/>
    <col min="11" max="11" width="14.21875" customWidth="1"/>
    <col min="12" max="12" width="15.44140625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8</v>
      </c>
      <c r="E1" t="s">
        <v>13</v>
      </c>
      <c r="F1" t="s">
        <v>20</v>
      </c>
      <c r="G1" t="s">
        <v>21</v>
      </c>
      <c r="H1" t="s">
        <v>22</v>
      </c>
    </row>
    <row r="2" spans="1:8" x14ac:dyDescent="0.3">
      <c r="A2" s="1">
        <v>43831</v>
      </c>
      <c r="B2" t="s">
        <v>2</v>
      </c>
      <c r="C2" t="s">
        <v>5</v>
      </c>
      <c r="D2" t="s">
        <v>9</v>
      </c>
      <c r="E2" t="s">
        <v>17</v>
      </c>
      <c r="F2">
        <v>33</v>
      </c>
      <c r="G2">
        <v>1.77</v>
      </c>
      <c r="H2">
        <f>F2*G2</f>
        <v>58.410000000000004</v>
      </c>
    </row>
    <row r="3" spans="1:8" x14ac:dyDescent="0.3">
      <c r="A3" s="1">
        <v>43834</v>
      </c>
      <c r="B3" t="s">
        <v>2</v>
      </c>
      <c r="C3" t="s">
        <v>5</v>
      </c>
      <c r="D3" t="s">
        <v>10</v>
      </c>
      <c r="E3" t="s">
        <v>14</v>
      </c>
      <c r="F3">
        <v>87</v>
      </c>
      <c r="G3">
        <v>3.49</v>
      </c>
      <c r="H3">
        <f t="shared" ref="H3:H13" si="0">F3*G3</f>
        <v>303.63</v>
      </c>
    </row>
    <row r="4" spans="1:8" ht="15.6" customHeight="1" x14ac:dyDescent="0.3">
      <c r="A4" s="1">
        <v>43837</v>
      </c>
      <c r="B4" t="s">
        <v>3</v>
      </c>
      <c r="C4" t="s">
        <v>7</v>
      </c>
      <c r="D4" t="s">
        <v>11</v>
      </c>
      <c r="E4" t="s">
        <v>15</v>
      </c>
      <c r="F4">
        <v>58</v>
      </c>
      <c r="G4">
        <v>1.87</v>
      </c>
      <c r="H4">
        <f t="shared" si="0"/>
        <v>108.46000000000001</v>
      </c>
    </row>
    <row r="5" spans="1:8" x14ac:dyDescent="0.3">
      <c r="A5" s="1">
        <v>43840</v>
      </c>
      <c r="B5" t="s">
        <v>2</v>
      </c>
      <c r="C5" t="s">
        <v>6</v>
      </c>
      <c r="D5" t="s">
        <v>11</v>
      </c>
      <c r="E5" t="s">
        <v>15</v>
      </c>
      <c r="F5">
        <v>82</v>
      </c>
      <c r="G5">
        <v>1.87</v>
      </c>
      <c r="H5">
        <f t="shared" si="0"/>
        <v>153.34</v>
      </c>
    </row>
    <row r="6" spans="1:8" x14ac:dyDescent="0.3">
      <c r="A6" s="1">
        <v>43843</v>
      </c>
      <c r="B6" t="s">
        <v>2</v>
      </c>
      <c r="C6" t="s">
        <v>5</v>
      </c>
      <c r="D6" t="s">
        <v>11</v>
      </c>
      <c r="E6" t="s">
        <v>16</v>
      </c>
      <c r="F6">
        <v>38</v>
      </c>
      <c r="G6">
        <v>2.1800000000000002</v>
      </c>
      <c r="H6">
        <f t="shared" si="0"/>
        <v>82.84</v>
      </c>
    </row>
    <row r="7" spans="1:8" x14ac:dyDescent="0.3">
      <c r="A7" s="1">
        <v>43846</v>
      </c>
      <c r="B7" t="s">
        <v>2</v>
      </c>
      <c r="C7" t="s">
        <v>5</v>
      </c>
      <c r="D7" t="s">
        <v>9</v>
      </c>
      <c r="E7" t="s">
        <v>17</v>
      </c>
      <c r="F7">
        <v>54</v>
      </c>
      <c r="G7">
        <v>1.77</v>
      </c>
      <c r="H7">
        <f t="shared" si="0"/>
        <v>95.58</v>
      </c>
    </row>
    <row r="8" spans="1:8" x14ac:dyDescent="0.3">
      <c r="A8" s="1">
        <v>43849</v>
      </c>
      <c r="B8" t="s">
        <v>2</v>
      </c>
      <c r="C8" t="s">
        <v>5</v>
      </c>
      <c r="D8" t="s">
        <v>10</v>
      </c>
      <c r="E8" t="s">
        <v>18</v>
      </c>
      <c r="F8">
        <v>149</v>
      </c>
      <c r="G8">
        <v>3.49</v>
      </c>
      <c r="H8">
        <f t="shared" si="0"/>
        <v>520.01</v>
      </c>
    </row>
    <row r="9" spans="1:8" x14ac:dyDescent="0.3">
      <c r="A9" s="1">
        <v>43852</v>
      </c>
      <c r="B9" t="s">
        <v>3</v>
      </c>
      <c r="C9" t="s">
        <v>7</v>
      </c>
      <c r="D9" t="s">
        <v>9</v>
      </c>
      <c r="E9" t="s">
        <v>17</v>
      </c>
      <c r="F9">
        <v>51</v>
      </c>
      <c r="G9">
        <v>1.77</v>
      </c>
      <c r="H9">
        <f t="shared" si="0"/>
        <v>90.27</v>
      </c>
    </row>
    <row r="10" spans="1:8" x14ac:dyDescent="0.3">
      <c r="A10" s="1">
        <v>43855</v>
      </c>
      <c r="B10" t="s">
        <v>2</v>
      </c>
      <c r="C10" t="s">
        <v>6</v>
      </c>
      <c r="D10" t="s">
        <v>9</v>
      </c>
      <c r="E10" t="s">
        <v>17</v>
      </c>
      <c r="F10">
        <v>100</v>
      </c>
      <c r="G10">
        <v>1.77</v>
      </c>
      <c r="H10">
        <f t="shared" si="0"/>
        <v>177</v>
      </c>
    </row>
    <row r="11" spans="1:8" x14ac:dyDescent="0.3">
      <c r="A11" s="1">
        <v>43858</v>
      </c>
      <c r="B11" t="s">
        <v>2</v>
      </c>
      <c r="C11" t="s">
        <v>6</v>
      </c>
      <c r="D11" t="s">
        <v>12</v>
      </c>
      <c r="E11" t="s">
        <v>19</v>
      </c>
      <c r="F11">
        <v>28</v>
      </c>
      <c r="G11">
        <v>1.35</v>
      </c>
      <c r="H11">
        <f t="shared" si="0"/>
        <v>37.800000000000004</v>
      </c>
    </row>
    <row r="12" spans="1:8" x14ac:dyDescent="0.3">
      <c r="A12" s="1">
        <v>43861</v>
      </c>
      <c r="B12" t="s">
        <v>2</v>
      </c>
      <c r="C12" t="s">
        <v>5</v>
      </c>
      <c r="D12" t="s">
        <v>11</v>
      </c>
      <c r="E12" t="s">
        <v>16</v>
      </c>
      <c r="F12">
        <v>36</v>
      </c>
      <c r="G12">
        <v>2.1800000000000002</v>
      </c>
      <c r="H12">
        <f t="shared" si="0"/>
        <v>78.48</v>
      </c>
    </row>
    <row r="13" spans="1:8" x14ac:dyDescent="0.3">
      <c r="A13" s="1">
        <v>43864</v>
      </c>
      <c r="B13" t="s">
        <v>2</v>
      </c>
      <c r="C13" t="s">
        <v>5</v>
      </c>
      <c r="D13" t="s">
        <v>11</v>
      </c>
      <c r="E13" t="s">
        <v>15</v>
      </c>
      <c r="F13">
        <v>31</v>
      </c>
      <c r="G13">
        <v>1.87</v>
      </c>
      <c r="H13">
        <f t="shared" si="0"/>
        <v>57.970000000000006</v>
      </c>
    </row>
    <row r="15" spans="1:8" x14ac:dyDescent="0.3">
      <c r="A15" t="s">
        <v>35</v>
      </c>
    </row>
    <row r="17" spans="1:10" x14ac:dyDescent="0.3">
      <c r="A17" t="s">
        <v>0</v>
      </c>
      <c r="B17" t="s">
        <v>1</v>
      </c>
      <c r="C17" t="s">
        <v>4</v>
      </c>
      <c r="D17" t="s">
        <v>8</v>
      </c>
      <c r="E17" t="s">
        <v>13</v>
      </c>
      <c r="F17" t="s">
        <v>20</v>
      </c>
      <c r="G17" t="s">
        <v>21</v>
      </c>
      <c r="H17" s="2" t="s">
        <v>23</v>
      </c>
      <c r="J17" s="3"/>
    </row>
    <row r="18" spans="1:10" x14ac:dyDescent="0.3">
      <c r="A18" s="1">
        <v>43831</v>
      </c>
      <c r="B18" t="s">
        <v>2</v>
      </c>
      <c r="C18" t="s">
        <v>5</v>
      </c>
      <c r="D18" t="s">
        <v>9</v>
      </c>
      <c r="E18" t="s">
        <v>17</v>
      </c>
      <c r="F18">
        <v>33</v>
      </c>
      <c r="G18">
        <v>1.77</v>
      </c>
      <c r="H18">
        <f>F18*G18</f>
        <v>58.410000000000004</v>
      </c>
    </row>
    <row r="19" spans="1:10" x14ac:dyDescent="0.3">
      <c r="A19" s="1">
        <v>43834</v>
      </c>
      <c r="B19" t="s">
        <v>2</v>
      </c>
      <c r="C19" t="s">
        <v>5</v>
      </c>
      <c r="D19" t="s">
        <v>10</v>
      </c>
      <c r="E19" t="s">
        <v>18</v>
      </c>
      <c r="F19">
        <v>87</v>
      </c>
      <c r="G19">
        <v>3.49</v>
      </c>
      <c r="H19">
        <f t="shared" ref="H19:H29" si="1">F19*G19</f>
        <v>303.63</v>
      </c>
    </row>
    <row r="20" spans="1:10" x14ac:dyDescent="0.3">
      <c r="A20" s="1">
        <v>43837</v>
      </c>
      <c r="B20" t="s">
        <v>3</v>
      </c>
      <c r="C20" t="s">
        <v>7</v>
      </c>
      <c r="D20" t="s">
        <v>11</v>
      </c>
      <c r="E20" t="s">
        <v>15</v>
      </c>
      <c r="F20">
        <v>58</v>
      </c>
      <c r="G20">
        <v>1.87</v>
      </c>
      <c r="H20">
        <f t="shared" si="1"/>
        <v>108.46000000000001</v>
      </c>
    </row>
    <row r="21" spans="1:10" x14ac:dyDescent="0.3">
      <c r="A21" s="1">
        <v>43840</v>
      </c>
      <c r="B21" t="s">
        <v>2</v>
      </c>
      <c r="C21" t="s">
        <v>6</v>
      </c>
      <c r="D21" t="s">
        <v>11</v>
      </c>
      <c r="E21" t="s">
        <v>15</v>
      </c>
      <c r="F21">
        <v>82</v>
      </c>
      <c r="G21">
        <v>1.87</v>
      </c>
      <c r="H21">
        <f t="shared" si="1"/>
        <v>153.34</v>
      </c>
    </row>
    <row r="22" spans="1:10" x14ac:dyDescent="0.3">
      <c r="A22" s="1">
        <v>43843</v>
      </c>
      <c r="B22" t="s">
        <v>2</v>
      </c>
      <c r="C22" t="s">
        <v>5</v>
      </c>
      <c r="D22" t="s">
        <v>11</v>
      </c>
      <c r="E22" t="s">
        <v>16</v>
      </c>
      <c r="F22">
        <v>38</v>
      </c>
      <c r="G22">
        <v>2.1800000000000002</v>
      </c>
      <c r="H22">
        <f t="shared" si="1"/>
        <v>82.84</v>
      </c>
    </row>
    <row r="23" spans="1:10" x14ac:dyDescent="0.3">
      <c r="A23" s="1">
        <v>43846</v>
      </c>
      <c r="B23" t="s">
        <v>2</v>
      </c>
      <c r="C23" t="s">
        <v>5</v>
      </c>
      <c r="D23" t="s">
        <v>9</v>
      </c>
      <c r="E23" t="s">
        <v>17</v>
      </c>
      <c r="F23">
        <v>54</v>
      </c>
      <c r="G23">
        <v>1.77</v>
      </c>
      <c r="H23">
        <f t="shared" si="1"/>
        <v>95.58</v>
      </c>
    </row>
    <row r="24" spans="1:10" x14ac:dyDescent="0.3">
      <c r="A24" s="1">
        <v>43849</v>
      </c>
      <c r="B24" t="s">
        <v>2</v>
      </c>
      <c r="C24" t="s">
        <v>5</v>
      </c>
      <c r="D24" t="s">
        <v>10</v>
      </c>
      <c r="E24" t="s">
        <v>18</v>
      </c>
      <c r="F24">
        <v>149</v>
      </c>
      <c r="G24">
        <v>3.49</v>
      </c>
      <c r="H24">
        <f t="shared" si="1"/>
        <v>520.01</v>
      </c>
    </row>
    <row r="25" spans="1:10" x14ac:dyDescent="0.3">
      <c r="A25" s="1">
        <v>43852</v>
      </c>
      <c r="B25" t="s">
        <v>3</v>
      </c>
      <c r="C25" t="s">
        <v>7</v>
      </c>
      <c r="D25" t="s">
        <v>9</v>
      </c>
      <c r="E25" t="s">
        <v>17</v>
      </c>
      <c r="F25">
        <v>51</v>
      </c>
      <c r="G25">
        <v>1.77</v>
      </c>
      <c r="H25">
        <f t="shared" si="1"/>
        <v>90.27</v>
      </c>
    </row>
    <row r="26" spans="1:10" x14ac:dyDescent="0.3">
      <c r="A26" s="1">
        <v>43855</v>
      </c>
      <c r="B26" t="s">
        <v>2</v>
      </c>
      <c r="C26" t="s">
        <v>6</v>
      </c>
      <c r="D26" t="s">
        <v>9</v>
      </c>
      <c r="E26" t="s">
        <v>17</v>
      </c>
      <c r="F26">
        <v>100</v>
      </c>
      <c r="G26">
        <v>1.77</v>
      </c>
      <c r="H26">
        <f t="shared" si="1"/>
        <v>177</v>
      </c>
    </row>
    <row r="27" spans="1:10" x14ac:dyDescent="0.3">
      <c r="A27" s="1">
        <v>43858</v>
      </c>
      <c r="B27" t="s">
        <v>2</v>
      </c>
      <c r="C27" t="s">
        <v>6</v>
      </c>
      <c r="D27" t="s">
        <v>12</v>
      </c>
      <c r="E27" t="s">
        <v>19</v>
      </c>
      <c r="F27">
        <v>28</v>
      </c>
      <c r="G27">
        <v>1.35</v>
      </c>
      <c r="H27">
        <f t="shared" si="1"/>
        <v>37.800000000000004</v>
      </c>
    </row>
    <row r="28" spans="1:10" x14ac:dyDescent="0.3">
      <c r="A28" s="1">
        <v>43861</v>
      </c>
      <c r="B28" t="s">
        <v>2</v>
      </c>
      <c r="C28" t="s">
        <v>5</v>
      </c>
      <c r="D28" t="s">
        <v>11</v>
      </c>
      <c r="E28" t="s">
        <v>16</v>
      </c>
      <c r="F28">
        <v>36</v>
      </c>
      <c r="G28">
        <v>2.1800000000000002</v>
      </c>
      <c r="H28">
        <f t="shared" si="1"/>
        <v>78.48</v>
      </c>
    </row>
    <row r="29" spans="1:10" x14ac:dyDescent="0.3">
      <c r="A29" s="1">
        <v>43864</v>
      </c>
      <c r="B29" t="s">
        <v>2</v>
      </c>
      <c r="C29" t="s">
        <v>5</v>
      </c>
      <c r="D29" t="s">
        <v>11</v>
      </c>
      <c r="E29" t="s">
        <v>15</v>
      </c>
      <c r="F29">
        <v>31</v>
      </c>
      <c r="G29">
        <v>1.87</v>
      </c>
      <c r="H29">
        <f t="shared" si="1"/>
        <v>57.970000000000006</v>
      </c>
    </row>
    <row r="30" spans="1:10" x14ac:dyDescent="0.3">
      <c r="A30" s="1"/>
    </row>
    <row r="31" spans="1:10" x14ac:dyDescent="0.3">
      <c r="A31" s="1"/>
    </row>
    <row r="32" spans="1:10" x14ac:dyDescent="0.3">
      <c r="A32" s="1"/>
    </row>
    <row r="33" spans="1:8" x14ac:dyDescent="0.3">
      <c r="A33" s="4" t="s">
        <v>37</v>
      </c>
    </row>
    <row r="34" spans="1:8" x14ac:dyDescent="0.3">
      <c r="A34" t="s">
        <v>36</v>
      </c>
    </row>
    <row r="35" spans="1:8" x14ac:dyDescent="0.3">
      <c r="A35" s="2" t="s">
        <v>24</v>
      </c>
      <c r="B35" t="s">
        <v>26</v>
      </c>
      <c r="D35">
        <f>MAX(F18:F29)</f>
        <v>149</v>
      </c>
      <c r="F35" t="s">
        <v>27</v>
      </c>
      <c r="H35">
        <f>MIN(F18:F29)</f>
        <v>28</v>
      </c>
    </row>
    <row r="36" spans="1:8" x14ac:dyDescent="0.3">
      <c r="A36" t="s">
        <v>25</v>
      </c>
      <c r="B36" t="s">
        <v>28</v>
      </c>
      <c r="D36">
        <f>SUM(H18:H29)</f>
        <v>1763.79</v>
      </c>
    </row>
    <row r="37" spans="1:8" x14ac:dyDescent="0.3">
      <c r="A37" s="2" t="s">
        <v>29</v>
      </c>
      <c r="B37">
        <f>SUMIFS(H18:H29,D18:D29,"Cookies",E18:E29,"Chocolate Chip")</f>
        <v>319.77000000000004</v>
      </c>
    </row>
    <row r="38" spans="1:8" x14ac:dyDescent="0.3">
      <c r="A38" t="s">
        <v>30</v>
      </c>
      <c r="B38">
        <f>AVERAGEIF(E18:E29,"Whole Wheat",H18:H29)</f>
        <v>411.82</v>
      </c>
    </row>
    <row r="39" spans="1:8" x14ac:dyDescent="0.3">
      <c r="A39" s="2" t="s">
        <v>31</v>
      </c>
      <c r="B39">
        <f>COUNTIF(D18:D29,"Crackers")</f>
        <v>2</v>
      </c>
    </row>
    <row r="40" spans="1:8" x14ac:dyDescent="0.3">
      <c r="A40" t="s">
        <v>32</v>
      </c>
      <c r="B40" t="s">
        <v>38</v>
      </c>
    </row>
    <row r="41" spans="1:8" x14ac:dyDescent="0.3">
      <c r="A41" s="2" t="s">
        <v>33</v>
      </c>
      <c r="B41" t="e" cm="1">
        <f t="array" ref="B41">COUNTIF</f>
        <v>#NAME?</v>
      </c>
    </row>
    <row r="42" spans="1:8" x14ac:dyDescent="0.3">
      <c r="A42" t="s">
        <v>34</v>
      </c>
    </row>
  </sheetData>
  <autoFilter ref="A17:H29" xr:uid="{6F00F7AE-659F-4513-8013-BAAD1A991F42}">
    <filterColumn colId="1">
      <iconFilter iconSet="3Arrows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kaur</dc:creator>
  <cp:lastModifiedBy>Manpreet kaur</cp:lastModifiedBy>
  <dcterms:created xsi:type="dcterms:W3CDTF">2022-04-28T19:14:27Z</dcterms:created>
  <dcterms:modified xsi:type="dcterms:W3CDTF">2022-04-28T20:57:51Z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2022-04-28T19:14:27Z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337babae-19f9-4ced-898a-a7f487189455</vt:lpwstr>
  </property>
  <property fmtid="{D5CDD505-2E9C-101B-9397-08002B2CF9AE}" pid="8" name="MSIP_Label_cdde0556-1f76-452e-9e94-03158f226e4e_ContentBits">
    <vt:lpwstr>0</vt:lpwstr>
  </property>
</Properties>
</file>